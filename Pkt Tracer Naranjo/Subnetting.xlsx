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0" documentId="8_{8F1740A8-6B5A-4681-87AF-AC7E349465E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0" i="1" l="1"/>
  <c r="AB19" i="1"/>
  <c r="AB18" i="1"/>
  <c r="Y17" i="1"/>
  <c r="AB17" i="1" s="1"/>
  <c r="AB16" i="1"/>
  <c r="AB15" i="1"/>
  <c r="Y13" i="1"/>
  <c r="Y14" i="1" s="1"/>
  <c r="Y11" i="1"/>
  <c r="Y7" i="1"/>
  <c r="Y8" i="1"/>
  <c r="AB3" i="1"/>
  <c r="AB4" i="1"/>
  <c r="AB5" i="1"/>
  <c r="AB6" i="1"/>
  <c r="AB7" i="1"/>
  <c r="AB8" i="1"/>
  <c r="AB9" i="1"/>
  <c r="AB10" i="1"/>
  <c r="AB11" i="1"/>
  <c r="AB12" i="1"/>
  <c r="AB13" i="1"/>
  <c r="AB14" i="1"/>
  <c r="AB2" i="1"/>
</calcChain>
</file>

<file path=xl/sharedStrings.xml><?xml version="1.0" encoding="utf-8"?>
<sst xmlns="http://schemas.openxmlformats.org/spreadsheetml/2006/main" count="111" uniqueCount="48">
  <si>
    <t>173.15.160.0/20</t>
  </si>
  <si>
    <t>id</t>
  </si>
  <si>
    <t>broadcast</t>
  </si>
  <si>
    <t>centro-sevilla</t>
  </si>
  <si>
    <t>/30</t>
  </si>
  <si>
    <t>173.15.160.</t>
  </si>
  <si>
    <t>centro-madrid</t>
  </si>
  <si>
    <t>centro-toledo</t>
  </si>
  <si>
    <t>oviedo-madrid</t>
  </si>
  <si>
    <t>oviedo-sevilla</t>
  </si>
  <si>
    <t>oriente-madrid</t>
  </si>
  <si>
    <t>oriente-toledo</t>
  </si>
  <si>
    <t>oriente-barcelona</t>
  </si>
  <si>
    <t>barcelona-murcia</t>
  </si>
  <si>
    <t>barcelona-madrid</t>
  </si>
  <si>
    <t>barcelona-valencia</t>
  </si>
  <si>
    <t>murcia-valencia</t>
  </si>
  <si>
    <t>murcia-toledo</t>
  </si>
  <si>
    <t>barcelona 9</t>
  </si>
  <si>
    <t>/26</t>
  </si>
  <si>
    <t>barcelona 8</t>
  </si>
  <si>
    <t>oviedo 12</t>
  </si>
  <si>
    <t>valencia 7</t>
  </si>
  <si>
    <t>173.15.161.</t>
  </si>
  <si>
    <t>toledo 3</t>
  </si>
  <si>
    <t>/25</t>
  </si>
  <si>
    <t>oviedo 13</t>
  </si>
  <si>
    <t>173.15.162.</t>
  </si>
  <si>
    <t>murcia 4</t>
  </si>
  <si>
    <t>/24</t>
  </si>
  <si>
    <t>173.15.163.</t>
  </si>
  <si>
    <t>valencia 6</t>
  </si>
  <si>
    <t>173.15.164.</t>
  </si>
  <si>
    <t>sevilla 1</t>
  </si>
  <si>
    <t>173.15.165.</t>
  </si>
  <si>
    <t>madrid 10</t>
  </si>
  <si>
    <t>173.15.166.</t>
  </si>
  <si>
    <t xml:space="preserve">murcia 5 </t>
  </si>
  <si>
    <t>173.15.167.</t>
  </si>
  <si>
    <t>madrid 11</t>
  </si>
  <si>
    <t>173.15.168.</t>
  </si>
  <si>
    <t>toledo 2</t>
  </si>
  <si>
    <t>/22</t>
  </si>
  <si>
    <t>173.15.172.</t>
  </si>
  <si>
    <t>173.15.175.</t>
  </si>
  <si>
    <t>sevilla 0</t>
  </si>
  <si>
    <t>173.15.176.</t>
  </si>
  <si>
    <t>173.15.179.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</si>
</sst>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9"/>
  <sheetViews>
    <sheetView tabSelected="1" workbookViewId="0">
      <selection activeCell="B5" sqref="B5"/>
    </sheetView>
  </sheetViews>
  <sheetFormatPr defaultRowHeight="15"/>
  <cols>
    <col min="2" max="2" width="16.5703125" customWidth="1"/>
    <col min="5" max="22" width="4.5703125" style="1" customWidth="1"/>
    <col min="24" max="24" width="11" customWidth="1"/>
    <col min="25" max="25" width="4.85546875" customWidth="1"/>
    <col min="27" max="27" width="12.28515625" customWidth="1"/>
    <col min="28" max="28" width="5.5703125" customWidth="1"/>
  </cols>
  <sheetData>
    <row r="1" spans="2:28">
      <c r="D1" s="9" t="s">
        <v>0</v>
      </c>
      <c r="E1" s="9"/>
      <c r="F1" s="9"/>
      <c r="G1" s="1">
        <v>128</v>
      </c>
      <c r="H1" s="1">
        <v>64</v>
      </c>
      <c r="I1" s="1">
        <v>32</v>
      </c>
      <c r="J1" s="1">
        <v>16</v>
      </c>
      <c r="K1" s="1">
        <v>8</v>
      </c>
      <c r="L1" s="1">
        <v>4</v>
      </c>
      <c r="M1" s="1">
        <v>2</v>
      </c>
      <c r="N1" s="1">
        <v>1</v>
      </c>
      <c r="O1" s="1">
        <v>128</v>
      </c>
      <c r="P1" s="1">
        <v>64</v>
      </c>
      <c r="Q1" s="1">
        <v>32</v>
      </c>
      <c r="R1" s="1">
        <v>16</v>
      </c>
      <c r="S1" s="1">
        <v>8</v>
      </c>
      <c r="T1" s="1">
        <v>4</v>
      </c>
      <c r="U1" s="1">
        <v>2</v>
      </c>
      <c r="V1" s="1">
        <v>1</v>
      </c>
      <c r="X1" t="s">
        <v>1</v>
      </c>
      <c r="AA1" t="s">
        <v>2</v>
      </c>
    </row>
    <row r="2" spans="2:28">
      <c r="B2" s="8" t="s">
        <v>3</v>
      </c>
      <c r="C2">
        <v>2</v>
      </c>
      <c r="E2" s="4">
        <v>173</v>
      </c>
      <c r="F2" s="4">
        <v>15</v>
      </c>
      <c r="G2" s="4">
        <v>1</v>
      </c>
      <c r="H2" s="4">
        <v>0</v>
      </c>
      <c r="I2" s="4">
        <v>1</v>
      </c>
      <c r="J2" s="4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3">
        <v>0</v>
      </c>
      <c r="V2" s="2">
        <v>0</v>
      </c>
      <c r="W2" t="s">
        <v>4</v>
      </c>
      <c r="X2" s="6" t="s">
        <v>5</v>
      </c>
      <c r="Y2" s="7">
        <v>4</v>
      </c>
      <c r="AA2" s="6" t="s">
        <v>5</v>
      </c>
      <c r="AB2" s="7">
        <f>SUM($U$1+$V$1+Y2)</f>
        <v>7</v>
      </c>
    </row>
    <row r="3" spans="2:28">
      <c r="B3" s="8" t="s">
        <v>6</v>
      </c>
      <c r="C3">
        <v>2</v>
      </c>
      <c r="E3" s="4">
        <v>173</v>
      </c>
      <c r="F3" s="4">
        <v>15</v>
      </c>
      <c r="G3" s="4">
        <v>1</v>
      </c>
      <c r="H3" s="4">
        <v>0</v>
      </c>
      <c r="I3" s="4">
        <v>1</v>
      </c>
      <c r="J3" s="4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3">
        <v>0</v>
      </c>
      <c r="V3" s="2">
        <v>0</v>
      </c>
      <c r="W3" t="s">
        <v>4</v>
      </c>
      <c r="X3" s="6" t="s">
        <v>5</v>
      </c>
      <c r="Y3" s="7">
        <v>8</v>
      </c>
      <c r="AA3" s="6" t="s">
        <v>5</v>
      </c>
      <c r="AB3" s="7">
        <f t="shared" ref="AB3:AB14" si="0">SUM($U$1+$V$1+Y3)</f>
        <v>11</v>
      </c>
    </row>
    <row r="4" spans="2:28">
      <c r="B4" s="8" t="s">
        <v>7</v>
      </c>
      <c r="C4">
        <v>2</v>
      </c>
      <c r="E4" s="4">
        <v>173</v>
      </c>
      <c r="F4" s="4">
        <v>15</v>
      </c>
      <c r="G4" s="4">
        <v>1</v>
      </c>
      <c r="H4" s="4">
        <v>0</v>
      </c>
      <c r="I4" s="4">
        <v>1</v>
      </c>
      <c r="J4" s="4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3">
        <v>0</v>
      </c>
      <c r="V4" s="2">
        <v>0</v>
      </c>
      <c r="W4" t="s">
        <v>4</v>
      </c>
      <c r="X4" s="6" t="s">
        <v>5</v>
      </c>
      <c r="Y4" s="7">
        <v>12</v>
      </c>
      <c r="AA4" s="6" t="s">
        <v>5</v>
      </c>
      <c r="AB4" s="7">
        <f t="shared" si="0"/>
        <v>15</v>
      </c>
    </row>
    <row r="5" spans="2:28">
      <c r="B5" s="8" t="s">
        <v>8</v>
      </c>
      <c r="C5">
        <v>2</v>
      </c>
      <c r="E5" s="4">
        <v>173</v>
      </c>
      <c r="F5" s="4">
        <v>15</v>
      </c>
      <c r="G5" s="4">
        <v>1</v>
      </c>
      <c r="H5" s="4">
        <v>0</v>
      </c>
      <c r="I5" s="4">
        <v>1</v>
      </c>
      <c r="J5" s="4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3">
        <v>0</v>
      </c>
      <c r="V5" s="2">
        <v>0</v>
      </c>
      <c r="W5" t="s">
        <v>4</v>
      </c>
      <c r="X5" s="6" t="s">
        <v>5</v>
      </c>
      <c r="Y5" s="7">
        <v>16</v>
      </c>
      <c r="AA5" s="6" t="s">
        <v>5</v>
      </c>
      <c r="AB5" s="7">
        <f t="shared" si="0"/>
        <v>19</v>
      </c>
    </row>
    <row r="6" spans="2:28">
      <c r="B6" s="8" t="s">
        <v>9</v>
      </c>
      <c r="C6">
        <v>2</v>
      </c>
      <c r="E6" s="4">
        <v>173</v>
      </c>
      <c r="F6" s="4">
        <v>15</v>
      </c>
      <c r="G6" s="4">
        <v>1</v>
      </c>
      <c r="H6" s="4">
        <v>0</v>
      </c>
      <c r="I6" s="4">
        <v>1</v>
      </c>
      <c r="J6" s="4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1</v>
      </c>
      <c r="U6" s="3">
        <v>0</v>
      </c>
      <c r="V6" s="2">
        <v>0</v>
      </c>
      <c r="W6" t="s">
        <v>4</v>
      </c>
      <c r="X6" s="6" t="s">
        <v>5</v>
      </c>
      <c r="Y6" s="7">
        <v>20</v>
      </c>
      <c r="AA6" s="6" t="s">
        <v>5</v>
      </c>
      <c r="AB6" s="7">
        <f t="shared" si="0"/>
        <v>23</v>
      </c>
    </row>
    <row r="7" spans="2:28">
      <c r="B7" s="8" t="s">
        <v>10</v>
      </c>
      <c r="C7">
        <v>2</v>
      </c>
      <c r="E7" s="4">
        <v>173</v>
      </c>
      <c r="F7" s="4">
        <v>15</v>
      </c>
      <c r="G7" s="4">
        <v>1</v>
      </c>
      <c r="H7" s="4">
        <v>0</v>
      </c>
      <c r="I7" s="4">
        <v>1</v>
      </c>
      <c r="J7" s="4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3">
        <v>0</v>
      </c>
      <c r="V7" s="2">
        <v>0</v>
      </c>
      <c r="W7" t="s">
        <v>4</v>
      </c>
      <c r="X7" s="6" t="s">
        <v>5</v>
      </c>
      <c r="Y7" s="7">
        <f>R1+S1</f>
        <v>24</v>
      </c>
      <c r="AA7" s="6" t="s">
        <v>5</v>
      </c>
      <c r="AB7" s="7">
        <f t="shared" si="0"/>
        <v>27</v>
      </c>
    </row>
    <row r="8" spans="2:28">
      <c r="B8" s="8" t="s">
        <v>11</v>
      </c>
      <c r="C8">
        <v>2</v>
      </c>
      <c r="E8" s="4">
        <v>173</v>
      </c>
      <c r="F8" s="4">
        <v>15</v>
      </c>
      <c r="G8" s="4">
        <v>1</v>
      </c>
      <c r="H8" s="4">
        <v>0</v>
      </c>
      <c r="I8" s="4">
        <v>1</v>
      </c>
      <c r="J8" s="4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1</v>
      </c>
      <c r="U8" s="3">
        <v>0</v>
      </c>
      <c r="V8" s="2">
        <v>0</v>
      </c>
      <c r="W8" t="s">
        <v>4</v>
      </c>
      <c r="X8" s="6" t="s">
        <v>5</v>
      </c>
      <c r="Y8" s="7">
        <f>R1+S1+T1</f>
        <v>28</v>
      </c>
      <c r="AA8" s="6" t="s">
        <v>5</v>
      </c>
      <c r="AB8" s="7">
        <f t="shared" si="0"/>
        <v>31</v>
      </c>
    </row>
    <row r="9" spans="2:28">
      <c r="B9" s="8" t="s">
        <v>12</v>
      </c>
      <c r="C9">
        <v>2</v>
      </c>
      <c r="E9" s="4">
        <v>173</v>
      </c>
      <c r="F9" s="4">
        <v>15</v>
      </c>
      <c r="G9" s="4">
        <v>1</v>
      </c>
      <c r="H9" s="4">
        <v>0</v>
      </c>
      <c r="I9" s="4">
        <v>1</v>
      </c>
      <c r="J9" s="4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3">
        <v>0</v>
      </c>
      <c r="V9" s="2">
        <v>0</v>
      </c>
      <c r="W9" t="s">
        <v>4</v>
      </c>
      <c r="X9" s="6" t="s">
        <v>5</v>
      </c>
      <c r="Y9" s="7">
        <v>32</v>
      </c>
      <c r="AA9" s="6" t="s">
        <v>5</v>
      </c>
      <c r="AB9" s="7">
        <f t="shared" si="0"/>
        <v>35</v>
      </c>
    </row>
    <row r="10" spans="2:28">
      <c r="B10" s="8" t="s">
        <v>13</v>
      </c>
      <c r="C10">
        <v>2</v>
      </c>
      <c r="E10" s="4">
        <v>173</v>
      </c>
      <c r="F10" s="4">
        <v>15</v>
      </c>
      <c r="G10" s="4">
        <v>1</v>
      </c>
      <c r="H10" s="4">
        <v>0</v>
      </c>
      <c r="I10" s="4">
        <v>1</v>
      </c>
      <c r="J10" s="4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1</v>
      </c>
      <c r="U10" s="3">
        <v>0</v>
      </c>
      <c r="V10" s="2">
        <v>0</v>
      </c>
      <c r="W10" t="s">
        <v>4</v>
      </c>
      <c r="X10" s="6" t="s">
        <v>5</v>
      </c>
      <c r="Y10" s="7">
        <v>36</v>
      </c>
      <c r="AA10" s="6" t="s">
        <v>5</v>
      </c>
      <c r="AB10" s="7">
        <f t="shared" si="0"/>
        <v>39</v>
      </c>
    </row>
    <row r="11" spans="2:28">
      <c r="B11" s="8" t="s">
        <v>14</v>
      </c>
      <c r="C11">
        <v>2</v>
      </c>
      <c r="E11" s="4">
        <v>173</v>
      </c>
      <c r="F11" s="4">
        <v>15</v>
      </c>
      <c r="G11" s="4">
        <v>1</v>
      </c>
      <c r="H11" s="4">
        <v>0</v>
      </c>
      <c r="I11" s="4">
        <v>1</v>
      </c>
      <c r="J11" s="4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0</v>
      </c>
      <c r="U11" s="3">
        <v>0</v>
      </c>
      <c r="V11" s="2">
        <v>0</v>
      </c>
      <c r="W11" t="s">
        <v>4</v>
      </c>
      <c r="X11" s="6" t="s">
        <v>5</v>
      </c>
      <c r="Y11" s="7">
        <f>Q1+S1</f>
        <v>40</v>
      </c>
      <c r="AA11" s="6" t="s">
        <v>5</v>
      </c>
      <c r="AB11" s="7">
        <f t="shared" si="0"/>
        <v>43</v>
      </c>
    </row>
    <row r="12" spans="2:28">
      <c r="B12" s="8" t="s">
        <v>15</v>
      </c>
      <c r="C12">
        <v>2</v>
      </c>
      <c r="E12" s="4">
        <v>173</v>
      </c>
      <c r="F12" s="4">
        <v>15</v>
      </c>
      <c r="G12" s="4">
        <v>1</v>
      </c>
      <c r="H12" s="4">
        <v>0</v>
      </c>
      <c r="I12" s="4">
        <v>1</v>
      </c>
      <c r="J12" s="4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1</v>
      </c>
      <c r="T12" s="5">
        <v>1</v>
      </c>
      <c r="U12" s="3">
        <v>0</v>
      </c>
      <c r="V12" s="2">
        <v>0</v>
      </c>
      <c r="W12" t="s">
        <v>4</v>
      </c>
      <c r="X12" s="6" t="s">
        <v>5</v>
      </c>
      <c r="Y12" s="7">
        <v>44</v>
      </c>
      <c r="AA12" s="6" t="s">
        <v>5</v>
      </c>
      <c r="AB12" s="7">
        <f t="shared" si="0"/>
        <v>47</v>
      </c>
    </row>
    <row r="13" spans="2:28">
      <c r="B13" s="8" t="s">
        <v>16</v>
      </c>
      <c r="C13">
        <v>2</v>
      </c>
      <c r="E13" s="4">
        <v>173</v>
      </c>
      <c r="F13" s="4">
        <v>15</v>
      </c>
      <c r="G13" s="4">
        <v>1</v>
      </c>
      <c r="H13" s="4">
        <v>0</v>
      </c>
      <c r="I13" s="4">
        <v>1</v>
      </c>
      <c r="J13" s="4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0</v>
      </c>
      <c r="T13" s="5">
        <v>0</v>
      </c>
      <c r="U13" s="3">
        <v>0</v>
      </c>
      <c r="V13" s="2">
        <v>0</v>
      </c>
      <c r="W13" t="s">
        <v>4</v>
      </c>
      <c r="X13" s="6" t="s">
        <v>5</v>
      </c>
      <c r="Y13" s="7">
        <f>Q1+R1</f>
        <v>48</v>
      </c>
      <c r="AA13" s="6" t="s">
        <v>5</v>
      </c>
      <c r="AB13" s="7">
        <f>SUM($U$1+$V$1+Y13)</f>
        <v>51</v>
      </c>
    </row>
    <row r="14" spans="2:28">
      <c r="B14" s="8" t="s">
        <v>17</v>
      </c>
      <c r="C14">
        <v>2</v>
      </c>
      <c r="E14" s="4">
        <v>173</v>
      </c>
      <c r="F14" s="4">
        <v>15</v>
      </c>
      <c r="G14" s="4">
        <v>1</v>
      </c>
      <c r="H14" s="4">
        <v>0</v>
      </c>
      <c r="I14" s="4">
        <v>1</v>
      </c>
      <c r="J14" s="4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</v>
      </c>
      <c r="R14" s="5">
        <v>1</v>
      </c>
      <c r="S14" s="5">
        <v>0</v>
      </c>
      <c r="T14" s="5">
        <v>1</v>
      </c>
      <c r="U14" s="3">
        <v>0</v>
      </c>
      <c r="V14" s="2">
        <v>0</v>
      </c>
      <c r="W14" t="s">
        <v>4</v>
      </c>
      <c r="X14" s="6" t="s">
        <v>5</v>
      </c>
      <c r="Y14" s="7">
        <f>Y13+T1</f>
        <v>52</v>
      </c>
      <c r="AA14" s="6" t="s">
        <v>5</v>
      </c>
      <c r="AB14" s="7">
        <f t="shared" si="0"/>
        <v>55</v>
      </c>
    </row>
    <row r="15" spans="2:28">
      <c r="B15" s="8" t="s">
        <v>18</v>
      </c>
      <c r="C15">
        <v>40</v>
      </c>
      <c r="E15" s="4">
        <v>173</v>
      </c>
      <c r="F15" s="4">
        <v>15</v>
      </c>
      <c r="G15" s="4">
        <v>1</v>
      </c>
      <c r="H15" s="4">
        <v>0</v>
      </c>
      <c r="I15" s="4">
        <v>1</v>
      </c>
      <c r="J15" s="4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t="s">
        <v>19</v>
      </c>
      <c r="X15" s="6" t="s">
        <v>5</v>
      </c>
      <c r="Y15" s="7">
        <v>64</v>
      </c>
      <c r="AA15" s="6" t="s">
        <v>5</v>
      </c>
      <c r="AB15" s="7">
        <f>SUM(Y15+$Q$1+$R$1+$S$1+$T$1+$U$1+$V$1)</f>
        <v>127</v>
      </c>
    </row>
    <row r="16" spans="2:28">
      <c r="B16" s="8" t="s">
        <v>20</v>
      </c>
      <c r="C16">
        <v>50</v>
      </c>
      <c r="E16" s="4">
        <v>173</v>
      </c>
      <c r="F16" s="4">
        <v>15</v>
      </c>
      <c r="G16" s="4">
        <v>1</v>
      </c>
      <c r="H16" s="4">
        <v>0</v>
      </c>
      <c r="I16" s="4">
        <v>1</v>
      </c>
      <c r="J16" s="4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t="s">
        <v>19</v>
      </c>
      <c r="X16" s="6" t="s">
        <v>5</v>
      </c>
      <c r="Y16" s="7">
        <v>128</v>
      </c>
      <c r="AA16" s="6" t="s">
        <v>5</v>
      </c>
      <c r="AB16" s="7">
        <f>SUM(Y16+$Q$1+$R$1+$S$1+$T$1+$U$1+$V$1)</f>
        <v>191</v>
      </c>
    </row>
    <row r="17" spans="2:28">
      <c r="B17" s="8" t="s">
        <v>21</v>
      </c>
      <c r="C17">
        <v>55</v>
      </c>
      <c r="E17" s="4">
        <v>173</v>
      </c>
      <c r="F17" s="4">
        <v>15</v>
      </c>
      <c r="G17" s="4">
        <v>1</v>
      </c>
      <c r="H17" s="4">
        <v>0</v>
      </c>
      <c r="I17" s="4">
        <v>1</v>
      </c>
      <c r="J17" s="4">
        <v>0</v>
      </c>
      <c r="K17" s="5">
        <v>0</v>
      </c>
      <c r="L17" s="5">
        <v>0</v>
      </c>
      <c r="M17" s="5">
        <v>0</v>
      </c>
      <c r="N17" s="5">
        <v>0</v>
      </c>
      <c r="O17" s="5">
        <v>1</v>
      </c>
      <c r="P17" s="5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t="s">
        <v>19</v>
      </c>
      <c r="X17" s="6" t="s">
        <v>5</v>
      </c>
      <c r="Y17" s="7">
        <f>O1+P1</f>
        <v>192</v>
      </c>
      <c r="AA17" s="6" t="s">
        <v>5</v>
      </c>
      <c r="AB17" s="7">
        <f>SUM(Y17+$Q$1+$R$1+$S$1+$T$1+$U$1+$V$1)</f>
        <v>255</v>
      </c>
    </row>
    <row r="18" spans="2:28">
      <c r="B18" s="8" t="s">
        <v>22</v>
      </c>
      <c r="C18">
        <v>60</v>
      </c>
      <c r="E18" s="4">
        <v>173</v>
      </c>
      <c r="F18" s="4">
        <v>15</v>
      </c>
      <c r="G18" s="4">
        <v>1</v>
      </c>
      <c r="H18" s="4">
        <v>0</v>
      </c>
      <c r="I18" s="4">
        <v>1</v>
      </c>
      <c r="J18" s="4">
        <v>0</v>
      </c>
      <c r="K18" s="5">
        <v>0</v>
      </c>
      <c r="L18" s="5">
        <v>0</v>
      </c>
      <c r="M18" s="5">
        <v>0</v>
      </c>
      <c r="N18" s="5">
        <v>1</v>
      </c>
      <c r="O18" s="5">
        <v>0</v>
      </c>
      <c r="P18" s="5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t="s">
        <v>19</v>
      </c>
      <c r="X18" s="6" t="s">
        <v>23</v>
      </c>
      <c r="Y18" s="7">
        <v>0</v>
      </c>
      <c r="AA18" s="6" t="s">
        <v>23</v>
      </c>
      <c r="AB18" s="7">
        <f>SUM(Y18+$Q$1+$R$1+$S$1+$T$1+$U$1+$V$1)</f>
        <v>63</v>
      </c>
    </row>
    <row r="19" spans="2:28">
      <c r="B19" s="8" t="s">
        <v>24</v>
      </c>
      <c r="C19">
        <v>80</v>
      </c>
      <c r="E19" s="4">
        <v>173</v>
      </c>
      <c r="F19" s="4">
        <v>15</v>
      </c>
      <c r="G19" s="4">
        <v>1</v>
      </c>
      <c r="H19" s="4">
        <v>0</v>
      </c>
      <c r="I19" s="4">
        <v>1</v>
      </c>
      <c r="J19" s="4">
        <v>0</v>
      </c>
      <c r="K19" s="5">
        <v>0</v>
      </c>
      <c r="L19" s="5">
        <v>0</v>
      </c>
      <c r="M19" s="5">
        <v>0</v>
      </c>
      <c r="N19" s="5">
        <v>1</v>
      </c>
      <c r="O19" s="5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t="s">
        <v>25</v>
      </c>
      <c r="X19" s="6" t="s">
        <v>23</v>
      </c>
      <c r="Y19" s="7">
        <v>128</v>
      </c>
      <c r="AA19" s="6" t="s">
        <v>23</v>
      </c>
      <c r="AB19" s="7">
        <f>SUM(Y19+$Q$1+$R$1+$S$1+$T$1+$U$1+$V$1+$P$1)</f>
        <v>255</v>
      </c>
    </row>
    <row r="20" spans="2:28">
      <c r="B20" s="8" t="s">
        <v>26</v>
      </c>
      <c r="C20">
        <v>99</v>
      </c>
      <c r="E20" s="4">
        <v>173</v>
      </c>
      <c r="F20" s="4">
        <v>15</v>
      </c>
      <c r="G20" s="4">
        <v>1</v>
      </c>
      <c r="H20" s="4">
        <v>0</v>
      </c>
      <c r="I20" s="4">
        <v>1</v>
      </c>
      <c r="J20" s="4">
        <v>0</v>
      </c>
      <c r="K20" s="5">
        <v>0</v>
      </c>
      <c r="L20" s="5">
        <v>0</v>
      </c>
      <c r="M20" s="5">
        <v>1</v>
      </c>
      <c r="N20" s="5">
        <v>0</v>
      </c>
      <c r="O20" s="5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t="s">
        <v>25</v>
      </c>
      <c r="X20" s="6" t="s">
        <v>27</v>
      </c>
      <c r="Y20" s="7">
        <v>0</v>
      </c>
      <c r="AA20" s="6" t="s">
        <v>27</v>
      </c>
      <c r="AB20" s="7">
        <f>SUM(Y20+$Q$1+$R$1+$S$1+$T$1+$U$1+$V$1+$P$1)</f>
        <v>127</v>
      </c>
    </row>
    <row r="21" spans="2:28">
      <c r="B21" s="8" t="s">
        <v>28</v>
      </c>
      <c r="C21">
        <v>130</v>
      </c>
      <c r="E21" s="4">
        <v>173</v>
      </c>
      <c r="F21" s="4">
        <v>15</v>
      </c>
      <c r="G21" s="4">
        <v>1</v>
      </c>
      <c r="H21" s="4">
        <v>0</v>
      </c>
      <c r="I21" s="4">
        <v>1</v>
      </c>
      <c r="J21" s="4">
        <v>0</v>
      </c>
      <c r="K21" s="5">
        <v>0</v>
      </c>
      <c r="L21" s="5">
        <v>0</v>
      </c>
      <c r="M21" s="5">
        <v>1</v>
      </c>
      <c r="N21" s="5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t="s">
        <v>29</v>
      </c>
      <c r="X21" s="6" t="s">
        <v>30</v>
      </c>
      <c r="Y21" s="7">
        <v>0</v>
      </c>
      <c r="AA21" s="6" t="s">
        <v>30</v>
      </c>
      <c r="AB21" s="7">
        <v>255</v>
      </c>
    </row>
    <row r="22" spans="2:28">
      <c r="B22" s="8" t="s">
        <v>31</v>
      </c>
      <c r="C22">
        <v>140</v>
      </c>
      <c r="E22" s="4">
        <v>173</v>
      </c>
      <c r="F22" s="4">
        <v>15</v>
      </c>
      <c r="G22" s="4">
        <v>1</v>
      </c>
      <c r="H22" s="4">
        <v>0</v>
      </c>
      <c r="I22" s="4">
        <v>1</v>
      </c>
      <c r="J22" s="4">
        <v>0</v>
      </c>
      <c r="K22" s="5">
        <v>0</v>
      </c>
      <c r="L22" s="5">
        <v>1</v>
      </c>
      <c r="M22" s="5">
        <v>0</v>
      </c>
      <c r="N22" s="5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t="s">
        <v>29</v>
      </c>
      <c r="X22" s="6" t="s">
        <v>32</v>
      </c>
      <c r="Y22" s="7">
        <v>0</v>
      </c>
      <c r="AA22" s="6" t="s">
        <v>32</v>
      </c>
      <c r="AB22" s="7">
        <v>255</v>
      </c>
    </row>
    <row r="23" spans="2:28">
      <c r="B23" s="8" t="s">
        <v>33</v>
      </c>
      <c r="C23">
        <v>189</v>
      </c>
      <c r="E23" s="4">
        <v>173</v>
      </c>
      <c r="F23" s="4">
        <v>15</v>
      </c>
      <c r="G23" s="4">
        <v>1</v>
      </c>
      <c r="H23" s="4">
        <v>0</v>
      </c>
      <c r="I23" s="4">
        <v>1</v>
      </c>
      <c r="J23" s="4">
        <v>0</v>
      </c>
      <c r="K23" s="5">
        <v>0</v>
      </c>
      <c r="L23" s="5">
        <v>1</v>
      </c>
      <c r="M23" s="5">
        <v>0</v>
      </c>
      <c r="N23" s="5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t="s">
        <v>29</v>
      </c>
      <c r="X23" s="6" t="s">
        <v>34</v>
      </c>
      <c r="Y23" s="7">
        <v>0</v>
      </c>
      <c r="AA23" s="6" t="s">
        <v>34</v>
      </c>
      <c r="AB23" s="7">
        <v>255</v>
      </c>
    </row>
    <row r="24" spans="2:28">
      <c r="B24" s="8" t="s">
        <v>35</v>
      </c>
      <c r="C24">
        <v>200</v>
      </c>
      <c r="E24" s="4">
        <v>173</v>
      </c>
      <c r="F24" s="4">
        <v>15</v>
      </c>
      <c r="G24" s="4">
        <v>1</v>
      </c>
      <c r="H24" s="4">
        <v>0</v>
      </c>
      <c r="I24" s="4">
        <v>1</v>
      </c>
      <c r="J24" s="4">
        <v>0</v>
      </c>
      <c r="K24" s="5">
        <v>0</v>
      </c>
      <c r="L24" s="5">
        <v>1</v>
      </c>
      <c r="M24" s="5">
        <v>1</v>
      </c>
      <c r="N24" s="5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t="s">
        <v>29</v>
      </c>
      <c r="X24" s="6" t="s">
        <v>36</v>
      </c>
      <c r="Y24" s="7">
        <v>0</v>
      </c>
      <c r="AA24" s="6" t="s">
        <v>36</v>
      </c>
      <c r="AB24" s="7">
        <v>255</v>
      </c>
    </row>
    <row r="25" spans="2:28">
      <c r="B25" s="8" t="s">
        <v>37</v>
      </c>
      <c r="C25">
        <v>220</v>
      </c>
      <c r="E25" s="4">
        <v>173</v>
      </c>
      <c r="F25" s="4">
        <v>15</v>
      </c>
      <c r="G25" s="4">
        <v>1</v>
      </c>
      <c r="H25" s="4">
        <v>0</v>
      </c>
      <c r="I25" s="4">
        <v>1</v>
      </c>
      <c r="J25" s="4">
        <v>0</v>
      </c>
      <c r="K25" s="5">
        <v>0</v>
      </c>
      <c r="L25" s="5">
        <v>1</v>
      </c>
      <c r="M25" s="5">
        <v>1</v>
      </c>
      <c r="N25" s="5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t="s">
        <v>29</v>
      </c>
      <c r="X25" s="6" t="s">
        <v>38</v>
      </c>
      <c r="Y25" s="7">
        <v>0</v>
      </c>
      <c r="AA25" s="6" t="s">
        <v>38</v>
      </c>
      <c r="AB25" s="7">
        <v>255</v>
      </c>
    </row>
    <row r="26" spans="2:28">
      <c r="B26" s="8" t="s">
        <v>39</v>
      </c>
      <c r="C26">
        <v>230</v>
      </c>
      <c r="E26" s="4">
        <v>173</v>
      </c>
      <c r="F26" s="4">
        <v>15</v>
      </c>
      <c r="G26" s="4">
        <v>1</v>
      </c>
      <c r="H26" s="4">
        <v>0</v>
      </c>
      <c r="I26" s="4">
        <v>1</v>
      </c>
      <c r="J26" s="4">
        <v>0</v>
      </c>
      <c r="K26" s="5">
        <v>1</v>
      </c>
      <c r="L26" s="5">
        <v>0</v>
      </c>
      <c r="M26" s="5">
        <v>0</v>
      </c>
      <c r="N26" s="5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t="s">
        <v>29</v>
      </c>
      <c r="X26" s="6" t="s">
        <v>40</v>
      </c>
      <c r="Y26" s="7">
        <v>0</v>
      </c>
      <c r="AA26" s="6" t="s">
        <v>40</v>
      </c>
      <c r="AB26" s="7">
        <v>255</v>
      </c>
    </row>
    <row r="27" spans="2:28">
      <c r="B27" s="8" t="s">
        <v>41</v>
      </c>
      <c r="C27">
        <v>550</v>
      </c>
      <c r="E27" s="4">
        <v>173</v>
      </c>
      <c r="F27" s="4">
        <v>15</v>
      </c>
      <c r="G27" s="4">
        <v>1</v>
      </c>
      <c r="H27" s="4">
        <v>0</v>
      </c>
      <c r="I27" s="4">
        <v>1</v>
      </c>
      <c r="J27" s="4">
        <v>0</v>
      </c>
      <c r="K27" s="5">
        <v>1</v>
      </c>
      <c r="L27" s="5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t="s">
        <v>42</v>
      </c>
      <c r="X27" s="6" t="s">
        <v>43</v>
      </c>
      <c r="Y27" s="7">
        <v>0</v>
      </c>
      <c r="AA27" s="6" t="s">
        <v>44</v>
      </c>
      <c r="AB27" s="7">
        <v>255</v>
      </c>
    </row>
    <row r="28" spans="2:28">
      <c r="B28" s="8" t="s">
        <v>45</v>
      </c>
      <c r="C28">
        <v>700</v>
      </c>
      <c r="E28" s="4">
        <v>173</v>
      </c>
      <c r="F28" s="4">
        <v>15</v>
      </c>
      <c r="G28" s="4">
        <v>1</v>
      </c>
      <c r="H28" s="4">
        <v>0</v>
      </c>
      <c r="I28" s="4">
        <v>1</v>
      </c>
      <c r="J28" s="5">
        <v>1</v>
      </c>
      <c r="K28" s="5">
        <v>0</v>
      </c>
      <c r="L28" s="5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t="s">
        <v>42</v>
      </c>
      <c r="X28" s="6" t="s">
        <v>46</v>
      </c>
      <c r="Y28" s="7">
        <v>0</v>
      </c>
      <c r="AA28" s="6" t="s">
        <v>47</v>
      </c>
      <c r="AB28" s="7">
        <v>255</v>
      </c>
    </row>
    <row r="29" spans="2:28">
      <c r="G29" s="1">
        <v>128</v>
      </c>
      <c r="H29" s="1">
        <v>64</v>
      </c>
      <c r="I29" s="1">
        <v>32</v>
      </c>
      <c r="J29" s="1">
        <v>16</v>
      </c>
      <c r="K29" s="1">
        <v>8</v>
      </c>
      <c r="L29" s="1">
        <v>4</v>
      </c>
      <c r="M29" s="1">
        <v>2</v>
      </c>
      <c r="N29" s="1">
        <v>1</v>
      </c>
      <c r="O29" s="1">
        <v>128</v>
      </c>
      <c r="P29" s="1">
        <v>64</v>
      </c>
      <c r="Q29" s="1">
        <v>32</v>
      </c>
      <c r="R29" s="1">
        <v>16</v>
      </c>
      <c r="S29" s="1">
        <v>8</v>
      </c>
      <c r="T29" s="1">
        <v>4</v>
      </c>
      <c r="U29" s="1">
        <v>2</v>
      </c>
      <c r="V29" s="1">
        <v>1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2023-11-24T22:17:32Z</dcterms:created>
  <dcterms:modified xsi:type="dcterms:W3CDTF">2023-11-25T05:45:02Z</dcterms:modified>
  <cp:category/>
  <cp:contentStatus/>
</cp:coreProperties>
</file>